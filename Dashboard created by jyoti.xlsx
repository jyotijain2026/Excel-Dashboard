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50e52f54f8c9f8/Desktop/"/>
    </mc:Choice>
  </mc:AlternateContent>
  <xr:revisionPtr revIDLastSave="2" documentId="13_ncr:1_{FD63EBBD-8F2E-4B1C-B264-7D6BA1A8454E}" xr6:coauthVersionLast="47" xr6:coauthVersionMax="47" xr10:uidLastSave="{744563D3-39BE-4FC5-B7FE-E704F53F8ACF}"/>
  <bookViews>
    <workbookView xWindow="-108" yWindow="-108" windowWidth="23256" windowHeight="12456" activeTab="3" xr2:uid="{CEA51B16-A9EE-4178-8888-9878D9B3E666}"/>
  </bookViews>
  <sheets>
    <sheet name="Sheet2" sheetId="2" r:id="rId1"/>
    <sheet name="Sheet1" sheetId="1" r:id="rId2"/>
    <sheet name="Sheet4" sheetId="4" r:id="rId3"/>
    <sheet name="Sheet3" sheetId="3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1" i="3" l="1"/>
  <c r="L21" i="3" s="1"/>
</calcChain>
</file>

<file path=xl/sharedStrings.xml><?xml version="1.0" encoding="utf-8"?>
<sst xmlns="http://schemas.openxmlformats.org/spreadsheetml/2006/main" count="92" uniqueCount="61">
  <si>
    <t>Date</t>
  </si>
  <si>
    <t>Region</t>
  </si>
  <si>
    <t>Product</t>
  </si>
  <si>
    <t>Sales</t>
  </si>
  <si>
    <t>Qunatity</t>
  </si>
  <si>
    <t>Laptop</t>
  </si>
  <si>
    <t>Mobile</t>
  </si>
  <si>
    <t>Tablet</t>
  </si>
  <si>
    <t>North</t>
  </si>
  <si>
    <t>South</t>
  </si>
  <si>
    <t>East</t>
  </si>
  <si>
    <t>West</t>
  </si>
  <si>
    <t>Sales data</t>
  </si>
  <si>
    <t>Row Labels</t>
  </si>
  <si>
    <t>Grand Total</t>
  </si>
  <si>
    <t>Sum of Sales</t>
  </si>
  <si>
    <t>Total Sales by region</t>
  </si>
  <si>
    <t>Sales by product</t>
  </si>
  <si>
    <t>Jan</t>
  </si>
  <si>
    <t>Feb</t>
  </si>
  <si>
    <t>Monthly Sales Trend</t>
  </si>
  <si>
    <t>Sum of Qunatity</t>
  </si>
  <si>
    <t>Total orders</t>
  </si>
  <si>
    <t>Dashboard</t>
  </si>
  <si>
    <t>Calculate KPI Value</t>
  </si>
  <si>
    <t>sales</t>
  </si>
  <si>
    <t>Admission No</t>
  </si>
  <si>
    <t>Student Name</t>
  </si>
  <si>
    <t>Class</t>
  </si>
  <si>
    <t>Monthly Fee</t>
  </si>
  <si>
    <t>Aarav</t>
  </si>
  <si>
    <t>1-A</t>
  </si>
  <si>
    <t>Riya</t>
  </si>
  <si>
    <t>2-B</t>
  </si>
  <si>
    <t>Kabir</t>
  </si>
  <si>
    <t>3-A</t>
  </si>
  <si>
    <t>Jivisha</t>
  </si>
  <si>
    <t>Avishka</t>
  </si>
  <si>
    <t>ojaswi</t>
  </si>
  <si>
    <t>Aarna</t>
  </si>
  <si>
    <t>Pranit</t>
  </si>
  <si>
    <t>Shobhit</t>
  </si>
  <si>
    <t>Dhriti</t>
  </si>
  <si>
    <t>Parv</t>
  </si>
  <si>
    <t>Paridhi</t>
  </si>
  <si>
    <t>Pranya</t>
  </si>
  <si>
    <t>Pranav</t>
  </si>
  <si>
    <t>Hemant</t>
  </si>
  <si>
    <t>Shivani</t>
  </si>
  <si>
    <t>Rahul</t>
  </si>
  <si>
    <t>Vandana</t>
  </si>
  <si>
    <t>Sonia</t>
  </si>
  <si>
    <t>Shreya</t>
  </si>
  <si>
    <t>4-A</t>
  </si>
  <si>
    <t>5-A</t>
  </si>
  <si>
    <t>6-A</t>
  </si>
  <si>
    <t>7-A</t>
  </si>
  <si>
    <t>8-A</t>
  </si>
  <si>
    <t>9-A</t>
  </si>
  <si>
    <t>0-A</t>
  </si>
  <si>
    <t>2-A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</si>
</sst>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4" tint="-0.249977111117893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1" fillId="0" borderId="1" xfId="0" applyFont="1" applyBorder="1"/>
    <xf numFmtId="0" fontId="4" fillId="0" borderId="0" xfId="0" applyFont="1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created by jyoti.xlsx]Sheet2!PivotTable1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75000</c:v>
                </c:pt>
                <c:pt idx="1">
                  <c:v>68000</c:v>
                </c:pt>
                <c:pt idx="2">
                  <c:v>32000</c:v>
                </c:pt>
                <c:pt idx="3">
                  <c:v>77000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5B-4EDA-B227-046659932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61461056"/>
        <c:axId val="1161461536"/>
      </c:barChart>
      <c:catAx>
        <c:axId val="1161461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461536"/>
        <c:crosses val="autoZero"/>
        <c:auto val="1"/>
        <c:lblAlgn val="ctr"/>
        <c:lblOffset val="100"/>
        <c:noMultiLvlLbl val="0"/>
      </c:catAx>
      <c:valAx>
        <c:axId val="1161461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461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created by jyoti.xlsx]Sheet2!PivotTable2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EE2-443C-BF29-CA41D92B27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EE2-443C-BF29-CA41D92B27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EE2-443C-BF29-CA41D92B2763}"/>
              </c:ext>
            </c:extLst>
          </c:dPt>
          <c:cat>
            <c:strRef>
              <c:f>Sheet2!$A$13:$A$16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Sheet2!$B$13:$B$16</c:f>
              <c:numCache>
                <c:formatCode>General</c:formatCode>
                <c:ptCount val="3"/>
                <c:pt idx="0">
                  <c:v>165000</c:v>
                </c:pt>
                <c:pt idx="1">
                  <c:v>60000</c:v>
                </c:pt>
                <c:pt idx="2">
                  <c:v>27000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80-4872-831E-DC104D77A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created by jyoti.xlsx]Sheet2!PivotTable3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Sheet2!$B$20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Sheet2!$A$21:$A$23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Sheet2!$B$21:$B$23</c:f>
              <c:numCache>
                <c:formatCode>General</c:formatCode>
                <c:ptCount val="2"/>
                <c:pt idx="0">
                  <c:v>170000</c:v>
                </c:pt>
                <c:pt idx="1">
                  <c:v>82000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34-4589-9048-7B7C6AFD0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0524080"/>
        <c:axId val="1660540880"/>
      </c:lineChart>
      <c:catAx>
        <c:axId val="166052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540880"/>
        <c:crosses val="autoZero"/>
        <c:auto val="1"/>
        <c:lblAlgn val="ctr"/>
        <c:lblOffset val="100"/>
        <c:noMultiLvlLbl val="0"/>
      </c:catAx>
      <c:valAx>
        <c:axId val="166054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524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created by jyoti.xlsx]Sheet2!PivotTable1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4"/>
                </a:solidFill>
              </a:rPr>
              <a:t>Total Sales</a:t>
            </a:r>
            <a:r>
              <a:rPr lang="en-US" b="1" baseline="0">
                <a:solidFill>
                  <a:schemeClr val="accent4"/>
                </a:solidFill>
              </a:rPr>
              <a:t> by region</a:t>
            </a:r>
            <a:endParaRPr lang="en-US" b="1">
              <a:solidFill>
                <a:schemeClr val="accent4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75000</c:v>
                </c:pt>
                <c:pt idx="1">
                  <c:v>68000</c:v>
                </c:pt>
                <c:pt idx="2">
                  <c:v>32000</c:v>
                </c:pt>
                <c:pt idx="3">
                  <c:v>77000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5D-405F-BB5F-FA46D25BA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61461056"/>
        <c:axId val="1161461536"/>
      </c:barChart>
      <c:catAx>
        <c:axId val="1161461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461536"/>
        <c:crosses val="autoZero"/>
        <c:auto val="1"/>
        <c:lblAlgn val="ctr"/>
        <c:lblOffset val="100"/>
        <c:noMultiLvlLbl val="0"/>
      </c:catAx>
      <c:valAx>
        <c:axId val="1161461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461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created by jyoti.xlsx]Sheet2!PivotTable2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0000"/>
                </a:solidFill>
              </a:rPr>
              <a:t>Product</a:t>
            </a:r>
            <a:r>
              <a:rPr lang="en-US" b="1" baseline="0">
                <a:solidFill>
                  <a:srgbClr val="FF0000"/>
                </a:solidFill>
              </a:rPr>
              <a:t> Sales</a:t>
            </a:r>
            <a:endParaRPr lang="en-US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114-42F5-87D9-EFA660B41C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114-42F5-87D9-EFA660B41C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114-42F5-87D9-EFA660B41C0D}"/>
              </c:ext>
            </c:extLst>
          </c:dPt>
          <c:cat>
            <c:strRef>
              <c:f>Sheet2!$A$13:$A$16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Sheet2!$B$13:$B$16</c:f>
              <c:numCache>
                <c:formatCode>General</c:formatCode>
                <c:ptCount val="3"/>
                <c:pt idx="0">
                  <c:v>165000</c:v>
                </c:pt>
                <c:pt idx="1">
                  <c:v>60000</c:v>
                </c:pt>
                <c:pt idx="2">
                  <c:v>27000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114-42F5-87D9-EFA660B41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created by jyoti.xlsx]Sheet2!PivotTable3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Monthly</a:t>
            </a:r>
            <a:r>
              <a:rPr lang="en-US" b="1" baseline="0">
                <a:solidFill>
                  <a:srgbClr val="00B050"/>
                </a:solidFill>
              </a:rPr>
              <a:t> sales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Sheet2!$B$20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Sheet2!$A$21:$A$23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Sheet2!$B$21:$B$23</c:f>
              <c:numCache>
                <c:formatCode>General</c:formatCode>
                <c:ptCount val="2"/>
                <c:pt idx="0">
                  <c:v>170000</c:v>
                </c:pt>
                <c:pt idx="1">
                  <c:v>82000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BD-4253-84BB-CC8942D5E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0524080"/>
        <c:axId val="1660540880"/>
      </c:lineChart>
      <c:catAx>
        <c:axId val="166052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540880"/>
        <c:crosses val="autoZero"/>
        <c:auto val="1"/>
        <c:lblAlgn val="ctr"/>
        <c:lblOffset val="100"/>
        <c:noMultiLvlLbl val="0"/>
      </c:catAx>
      <c:valAx>
        <c:axId val="166054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524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5</xdr:row>
      <xdr:rowOff>15240</xdr:rowOff>
    </xdr:from>
    <xdr:to>
      <xdr:col>7</xdr:col>
      <xdr:colOff>434340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B7DB1B-C2B8-98D2-1A34-F275E952DB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198120</xdr:colOff>
      <xdr:row>16</xdr:row>
      <xdr:rowOff>22860</xdr:rowOff>
    </xdr:from>
    <xdr:to>
      <xdr:col>5</xdr:col>
      <xdr:colOff>373380</xdr:colOff>
      <xdr:row>24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A24920-1F1D-6C1B-7357-BEBB621159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601980</xdr:colOff>
      <xdr:row>17</xdr:row>
      <xdr:rowOff>190500</xdr:rowOff>
    </xdr:from>
    <xdr:to>
      <xdr:col>12</xdr:col>
      <xdr:colOff>411480</xdr:colOff>
      <xdr:row>31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769EB5-B7C5-A503-1333-33FEDC5704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6</xdr:col>
      <xdr:colOff>373380</xdr:colOff>
      <xdr:row>12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7E2981-9A65-4010-86DF-0B685DC987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5</xdr:col>
      <xdr:colOff>198120</xdr:colOff>
      <xdr:row>26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5EA0E1-5BDC-4466-A617-E71E73FAA8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2</xdr:row>
      <xdr:rowOff>0</xdr:rowOff>
    </xdr:from>
    <xdr:to>
      <xdr:col>17</xdr:col>
      <xdr:colOff>22860</xdr:colOff>
      <xdr:row>15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276F45-9ED8-4484-B3B6-A3690F1C0F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obhit Jain" refreshedDate="46107.71664421296" createdVersion="8" refreshedVersion="8" minRefreshableVersion="3" recordCount="8" xr:uid="{8D8715C3-6CD4-4E00-922C-927D00B5E155}">
  <cacheSource type="worksheet">
    <worksheetSource name="Table1"/>
  </cacheSource>
  <cacheFields count="7">
    <cacheField name="Date" numFmtId="14">
      <sharedItems containsSemiMixedTypes="0" containsNonDate="0" containsDate="1" containsString="0" minDate="2024-01-01T00:00:00" maxDate="2024-02-06T00:00:00" count="8">
        <d v="2024-01-01T00:00:00"/>
        <d v="2024-01-05T00:00:00"/>
        <d v="2024-01-10T00:00:00"/>
        <d v="2024-01-15T00:00:00"/>
        <d v="2024-01-20T00:00:00"/>
        <d v="2024-01-25T00:00:00"/>
        <d v="2024-02-01T00:00:00"/>
        <d v="2024-02-05T00:00:00"/>
      </sharedItems>
      <fieldGroup par="6"/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3">
        <s v="Laptop"/>
        <s v="Mobile"/>
        <s v="Tablet"/>
      </sharedItems>
    </cacheField>
    <cacheField name="Sales" numFmtId="0">
      <sharedItems containsSemiMixedTypes="0" containsString="0" containsNumber="1" containsInteger="1" minValue="12000" maxValue="60000"/>
    </cacheField>
    <cacheField name="Qunatity" numFmtId="0">
      <sharedItems containsSemiMixedTypes="0" containsString="0" containsNumber="1" containsInteger="1" minValue="1" maxValue="3"/>
    </cacheField>
    <cacheField name="Days (Date)" numFmtId="0" databaseField="0">
      <fieldGroup base="0">
        <rangePr groupBy="days" startDate="2024-01-01T00:00:00" endDate="2024-02-06T00:00:00"/>
        <groupItems count="368">
          <s v="&lt;01-01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6-02-2024"/>
        </groupItems>
      </fieldGroup>
    </cacheField>
    <cacheField name="Months (Date)" numFmtId="0" databaseField="0">
      <fieldGroup base="0">
        <rangePr groupBy="months" startDate="2024-01-01T00:00:00" endDate="2024-02-06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6-02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x v="0"/>
    <n v="50000"/>
    <n v="2"/>
  </r>
  <r>
    <x v="1"/>
    <x v="1"/>
    <x v="1"/>
    <n v="20000"/>
    <n v="3"/>
  </r>
  <r>
    <x v="2"/>
    <x v="2"/>
    <x v="2"/>
    <n v="15000"/>
    <n v="1"/>
  </r>
  <r>
    <x v="3"/>
    <x v="3"/>
    <x v="0"/>
    <n v="55000"/>
    <n v="2"/>
  </r>
  <r>
    <x v="4"/>
    <x v="0"/>
    <x v="1"/>
    <n v="18000"/>
    <n v="2"/>
  </r>
  <r>
    <x v="5"/>
    <x v="1"/>
    <x v="2"/>
    <n v="12000"/>
    <n v="1"/>
  </r>
  <r>
    <x v="6"/>
    <x v="2"/>
    <x v="0"/>
    <n v="60000"/>
    <n v="3"/>
  </r>
  <r>
    <x v="7"/>
    <x v="3"/>
    <x v="1"/>
    <n v="2200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7226A1-52E7-42FC-85CF-FCDD8C03F7B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7">
    <pivotField numFmtId="1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8F40C3-8215-4A99-92ED-C803FEFEAF7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E4" firstHeaderRow="1" firstDataRow="1" firstDataCol="0"/>
  <pivotFields count="7">
    <pivotField numFmtId="1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um of Qunati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E6C090-0449-4A60-A304-1C208E77ED9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0:B23" firstHeaderRow="1" firstDataRow="1" firstDataCol="1"/>
  <pivotFields count="7">
    <pivotField axis="axisRow" numFmtId="1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6"/>
    <field x="5"/>
    <field x="0"/>
  </rowFields>
  <rowItems count="3">
    <i>
      <x v="1"/>
    </i>
    <i>
      <x v="2"/>
    </i>
    <i t="grand">
      <x/>
    </i>
  </rowItems>
  <colItems count="1">
    <i/>
  </colItems>
  <dataFields count="1">
    <dataField name="Sum of Sales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B42909-457E-49FD-8748-B58BFA2E8EC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2:B16" firstHeaderRow="1" firstDataRow="1" firstDataCol="1"/>
  <pivotFields count="7">
    <pivotField numFmtId="1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08157B-E688-4BB3-A725-6DADCF015C8F}" name="Table1" displayName="Table1" ref="A2:E10" totalsRowShown="0">
  <autoFilter ref="A2:E10" xr:uid="{E908157B-E688-4BB3-A725-6DADCF015C8F}"/>
  <tableColumns count="5">
    <tableColumn id="1" xr3:uid="{A7BF0191-A0D8-4311-B240-9FADB4739554}" name="Date" dataDxfId="0"/>
    <tableColumn id="2" xr3:uid="{C8ED2223-E64C-4F26-81E1-23AC00CEA457}" name="Region"/>
    <tableColumn id="3" xr3:uid="{77841769-D4FC-41CA-9D0E-846105725954}" name="Product"/>
    <tableColumn id="4" xr3:uid="{126544C3-2453-4304-9827-8D2746237230}" name="Sales"/>
    <tableColumn id="5" xr3:uid="{15FF7F6D-DE55-4E34-A7AF-D208B422585E}" name="Qunat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3D392-A8CE-4707-AF79-C0E750871A2A}">
  <dimension ref="A1:E23"/>
  <sheetViews>
    <sheetView topLeftCell="A8" workbookViewId="0">
      <selection activeCell="B21" sqref="B21:B22"/>
    </sheetView>
  </sheetViews>
  <sheetFormatPr defaultRowHeight="14.4" x14ac:dyDescent="0.3"/>
  <cols>
    <col min="1" max="1" width="12.5546875" bestFit="1" customWidth="1"/>
    <col min="2" max="2" width="11.6640625" bestFit="1" customWidth="1"/>
    <col min="5" max="7" width="14.88671875" bestFit="1" customWidth="1"/>
  </cols>
  <sheetData>
    <row r="1" spans="1:5" ht="18" x14ac:dyDescent="0.35">
      <c r="A1" s="5" t="s">
        <v>16</v>
      </c>
      <c r="E1" s="5" t="s">
        <v>22</v>
      </c>
    </row>
    <row r="3" spans="1:5" x14ac:dyDescent="0.3">
      <c r="A3" s="3" t="s">
        <v>13</v>
      </c>
      <c r="B3" t="s">
        <v>15</v>
      </c>
      <c r="E3" t="s">
        <v>21</v>
      </c>
    </row>
    <row r="4" spans="1:5" x14ac:dyDescent="0.3">
      <c r="A4" s="4" t="s">
        <v>10</v>
      </c>
      <c r="B4">
        <v>75000</v>
      </c>
      <c r="E4">
        <v>16</v>
      </c>
    </row>
    <row r="5" spans="1:5" x14ac:dyDescent="0.3">
      <c r="A5" s="4" t="s">
        <v>8</v>
      </c>
      <c r="B5">
        <v>68000</v>
      </c>
    </row>
    <row r="6" spans="1:5" x14ac:dyDescent="0.3">
      <c r="A6" s="4" t="s">
        <v>9</v>
      </c>
      <c r="B6">
        <v>32000</v>
      </c>
    </row>
    <row r="7" spans="1:5" x14ac:dyDescent="0.3">
      <c r="A7" s="4" t="s">
        <v>11</v>
      </c>
      <c r="B7">
        <v>77000</v>
      </c>
    </row>
    <row r="8" spans="1:5" x14ac:dyDescent="0.3">
      <c r="A8" s="4" t="s">
        <v>14</v>
      </c>
      <c r="B8">
        <v>252000</v>
      </c>
    </row>
    <row r="10" spans="1:5" ht="18" x14ac:dyDescent="0.35">
      <c r="A10" s="5" t="s">
        <v>17</v>
      </c>
    </row>
    <row r="12" spans="1:5" x14ac:dyDescent="0.3">
      <c r="A12" s="3" t="s">
        <v>13</v>
      </c>
      <c r="B12" t="s">
        <v>15</v>
      </c>
    </row>
    <row r="13" spans="1:5" x14ac:dyDescent="0.3">
      <c r="A13" s="4" t="s">
        <v>5</v>
      </c>
      <c r="B13">
        <v>165000</v>
      </c>
    </row>
    <row r="14" spans="1:5" x14ac:dyDescent="0.3">
      <c r="A14" s="4" t="s">
        <v>6</v>
      </c>
      <c r="B14">
        <v>60000</v>
      </c>
    </row>
    <row r="15" spans="1:5" x14ac:dyDescent="0.3">
      <c r="A15" s="4" t="s">
        <v>7</v>
      </c>
      <c r="B15">
        <v>27000</v>
      </c>
    </row>
    <row r="16" spans="1:5" x14ac:dyDescent="0.3">
      <c r="A16" s="4" t="s">
        <v>14</v>
      </c>
      <c r="B16">
        <v>252000</v>
      </c>
    </row>
    <row r="18" spans="1:2" ht="18" x14ac:dyDescent="0.35">
      <c r="A18" s="5" t="s">
        <v>20</v>
      </c>
    </row>
    <row r="20" spans="1:2" x14ac:dyDescent="0.3">
      <c r="A20" s="3" t="s">
        <v>13</v>
      </c>
      <c r="B20" t="s">
        <v>15</v>
      </c>
    </row>
    <row r="21" spans="1:2" x14ac:dyDescent="0.3">
      <c r="A21" s="4" t="s">
        <v>18</v>
      </c>
      <c r="B21">
        <v>170000</v>
      </c>
    </row>
    <row r="22" spans="1:2" x14ac:dyDescent="0.3">
      <c r="A22" s="4" t="s">
        <v>19</v>
      </c>
      <c r="B22">
        <v>82000</v>
      </c>
    </row>
    <row r="23" spans="1:2" x14ac:dyDescent="0.3">
      <c r="A23" s="4" t="s">
        <v>14</v>
      </c>
      <c r="B23">
        <v>252000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D8D8A-5B71-402D-8BDB-D71E25F90452}">
  <dimension ref="A1:E10"/>
  <sheetViews>
    <sheetView workbookViewId="0">
      <selection activeCell="A2" sqref="A2:E10"/>
    </sheetView>
  </sheetViews>
  <sheetFormatPr defaultRowHeight="14.4" x14ac:dyDescent="0.3"/>
  <cols>
    <col min="1" max="1" width="10.33203125" bestFit="1" customWidth="1"/>
    <col min="3" max="3" width="9.5546875" customWidth="1"/>
    <col min="5" max="5" width="10.21875" customWidth="1"/>
  </cols>
  <sheetData>
    <row r="1" spans="1:5" ht="21" x14ac:dyDescent="0.4">
      <c r="B1" s="2" t="s">
        <v>12</v>
      </c>
    </row>
    <row r="2" spans="1: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3">
      <c r="A3" s="1">
        <v>45292</v>
      </c>
      <c r="B3" t="s">
        <v>8</v>
      </c>
      <c r="C3" t="s">
        <v>5</v>
      </c>
      <c r="D3">
        <v>50000</v>
      </c>
      <c r="E3">
        <v>2</v>
      </c>
    </row>
    <row r="4" spans="1:5" x14ac:dyDescent="0.3">
      <c r="A4" s="1">
        <v>45296</v>
      </c>
      <c r="B4" t="s">
        <v>9</v>
      </c>
      <c r="C4" t="s">
        <v>6</v>
      </c>
      <c r="D4">
        <v>20000</v>
      </c>
      <c r="E4">
        <v>3</v>
      </c>
    </row>
    <row r="5" spans="1:5" x14ac:dyDescent="0.3">
      <c r="A5" s="1">
        <v>45301</v>
      </c>
      <c r="B5" t="s">
        <v>10</v>
      </c>
      <c r="C5" t="s">
        <v>7</v>
      </c>
      <c r="D5">
        <v>15000</v>
      </c>
      <c r="E5">
        <v>1</v>
      </c>
    </row>
    <row r="6" spans="1:5" x14ac:dyDescent="0.3">
      <c r="A6" s="1">
        <v>45306</v>
      </c>
      <c r="B6" t="s">
        <v>11</v>
      </c>
      <c r="C6" t="s">
        <v>5</v>
      </c>
      <c r="D6">
        <v>55000</v>
      </c>
      <c r="E6">
        <v>2</v>
      </c>
    </row>
    <row r="7" spans="1:5" x14ac:dyDescent="0.3">
      <c r="A7" s="1">
        <v>45311</v>
      </c>
      <c r="B7" t="s">
        <v>8</v>
      </c>
      <c r="C7" t="s">
        <v>6</v>
      </c>
      <c r="D7">
        <v>18000</v>
      </c>
      <c r="E7">
        <v>2</v>
      </c>
    </row>
    <row r="8" spans="1:5" x14ac:dyDescent="0.3">
      <c r="A8" s="1">
        <v>45316</v>
      </c>
      <c r="B8" t="s">
        <v>9</v>
      </c>
      <c r="C8" t="s">
        <v>7</v>
      </c>
      <c r="D8">
        <v>12000</v>
      </c>
      <c r="E8">
        <v>1</v>
      </c>
    </row>
    <row r="9" spans="1:5" x14ac:dyDescent="0.3">
      <c r="A9" s="1">
        <v>45323</v>
      </c>
      <c r="B9" t="s">
        <v>10</v>
      </c>
      <c r="C9" t="s">
        <v>5</v>
      </c>
      <c r="D9">
        <v>60000</v>
      </c>
      <c r="E9">
        <v>3</v>
      </c>
    </row>
    <row r="10" spans="1:5" x14ac:dyDescent="0.3">
      <c r="A10" s="1">
        <v>45327</v>
      </c>
      <c r="B10" t="s">
        <v>11</v>
      </c>
      <c r="C10" t="s">
        <v>6</v>
      </c>
      <c r="D10">
        <v>22000</v>
      </c>
      <c r="E10">
        <v>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8456A-A64B-429C-AB85-28C4B71B8572}">
  <dimension ref="A1:F21"/>
  <sheetViews>
    <sheetView workbookViewId="0">
      <selection activeCell="F2" sqref="F2"/>
    </sheetView>
  </sheetViews>
  <sheetFormatPr defaultRowHeight="14.4" x14ac:dyDescent="0.3"/>
  <cols>
    <col min="1" max="1" width="8.21875" bestFit="1" customWidth="1"/>
    <col min="2" max="2" width="10" customWidth="1"/>
  </cols>
  <sheetData>
    <row r="1" spans="1:6" ht="28.8" x14ac:dyDescent="0.3">
      <c r="A1" s="10" t="s">
        <v>26</v>
      </c>
      <c r="B1" s="10" t="s">
        <v>27</v>
      </c>
      <c r="C1" s="10" t="s">
        <v>28</v>
      </c>
      <c r="D1" s="10" t="s">
        <v>29</v>
      </c>
    </row>
    <row r="2" spans="1:6" x14ac:dyDescent="0.3">
      <c r="A2" s="10">
        <v>101</v>
      </c>
      <c r="B2" s="10" t="s">
        <v>30</v>
      </c>
      <c r="C2" s="10" t="s">
        <v>31</v>
      </c>
      <c r="D2" s="10">
        <v>2500</v>
      </c>
      <c r="F2">
        <v>101</v>
      </c>
    </row>
    <row r="3" spans="1:6" x14ac:dyDescent="0.3">
      <c r="A3" s="10">
        <v>102</v>
      </c>
      <c r="B3" s="10" t="s">
        <v>32</v>
      </c>
      <c r="C3" s="10" t="s">
        <v>33</v>
      </c>
      <c r="D3" s="10">
        <v>3000</v>
      </c>
    </row>
    <row r="4" spans="1:6" x14ac:dyDescent="0.3">
      <c r="A4" s="10">
        <v>103</v>
      </c>
      <c r="B4" s="10" t="s">
        <v>34</v>
      </c>
      <c r="C4" s="10" t="s">
        <v>35</v>
      </c>
      <c r="D4" s="10">
        <v>3500</v>
      </c>
    </row>
    <row r="5" spans="1:6" x14ac:dyDescent="0.3">
      <c r="A5" s="10">
        <v>104</v>
      </c>
      <c r="B5" s="10" t="s">
        <v>36</v>
      </c>
      <c r="C5" s="10" t="s">
        <v>53</v>
      </c>
      <c r="D5" s="10">
        <v>2000</v>
      </c>
    </row>
    <row r="6" spans="1:6" x14ac:dyDescent="0.3">
      <c r="A6" s="10">
        <v>105</v>
      </c>
      <c r="B6" s="10" t="s">
        <v>37</v>
      </c>
      <c r="C6" s="10" t="s">
        <v>54</v>
      </c>
      <c r="D6" s="10">
        <v>2000</v>
      </c>
    </row>
    <row r="7" spans="1:6" x14ac:dyDescent="0.3">
      <c r="A7" s="10">
        <v>106</v>
      </c>
      <c r="B7" s="10" t="s">
        <v>38</v>
      </c>
      <c r="C7" s="10" t="s">
        <v>55</v>
      </c>
      <c r="D7" s="10">
        <v>4000</v>
      </c>
    </row>
    <row r="8" spans="1:6" x14ac:dyDescent="0.3">
      <c r="A8" s="10">
        <v>107</v>
      </c>
      <c r="B8" s="10" t="s">
        <v>39</v>
      </c>
      <c r="C8" s="10" t="s">
        <v>56</v>
      </c>
      <c r="D8" s="10">
        <v>5000</v>
      </c>
    </row>
    <row r="9" spans="1:6" x14ac:dyDescent="0.3">
      <c r="A9" s="10">
        <v>108</v>
      </c>
      <c r="B9" s="10" t="s">
        <v>40</v>
      </c>
      <c r="C9" s="10" t="s">
        <v>57</v>
      </c>
      <c r="D9" s="10">
        <v>6000</v>
      </c>
    </row>
    <row r="10" spans="1:6" x14ac:dyDescent="0.3">
      <c r="A10" s="10">
        <v>109</v>
      </c>
      <c r="B10" s="10" t="s">
        <v>41</v>
      </c>
      <c r="C10" s="10" t="s">
        <v>58</v>
      </c>
      <c r="D10" s="10">
        <v>7000</v>
      </c>
    </row>
    <row r="11" spans="1:6" x14ac:dyDescent="0.3">
      <c r="A11" s="10">
        <v>110</v>
      </c>
      <c r="B11" s="10" t="s">
        <v>42</v>
      </c>
      <c r="C11" s="10" t="s">
        <v>59</v>
      </c>
      <c r="D11" s="10">
        <v>8000</v>
      </c>
    </row>
    <row r="12" spans="1:6" x14ac:dyDescent="0.3">
      <c r="A12" s="10">
        <v>111</v>
      </c>
      <c r="B12" s="10" t="s">
        <v>43</v>
      </c>
      <c r="C12" s="10" t="s">
        <v>31</v>
      </c>
      <c r="D12" s="10">
        <v>2500</v>
      </c>
    </row>
    <row r="13" spans="1:6" x14ac:dyDescent="0.3">
      <c r="A13" s="10">
        <v>112</v>
      </c>
      <c r="B13" s="10" t="s">
        <v>44</v>
      </c>
      <c r="C13" s="10" t="s">
        <v>60</v>
      </c>
      <c r="D13" s="10">
        <v>3000</v>
      </c>
    </row>
    <row r="14" spans="1:6" x14ac:dyDescent="0.3">
      <c r="A14" s="10">
        <v>113</v>
      </c>
      <c r="B14" s="10" t="s">
        <v>45</v>
      </c>
      <c r="C14" s="10" t="s">
        <v>35</v>
      </c>
      <c r="D14" s="10">
        <v>3500</v>
      </c>
    </row>
    <row r="15" spans="1:6" x14ac:dyDescent="0.3">
      <c r="A15" s="10">
        <v>114</v>
      </c>
      <c r="B15" s="10" t="s">
        <v>46</v>
      </c>
      <c r="C15" s="10" t="s">
        <v>53</v>
      </c>
      <c r="D15" s="10">
        <v>2000</v>
      </c>
    </row>
    <row r="16" spans="1:6" x14ac:dyDescent="0.3">
      <c r="A16" s="10">
        <v>115</v>
      </c>
      <c r="B16" s="10" t="s">
        <v>47</v>
      </c>
      <c r="C16" s="10" t="s">
        <v>54</v>
      </c>
      <c r="D16" s="10">
        <v>2000</v>
      </c>
    </row>
    <row r="17" spans="1:4" x14ac:dyDescent="0.3">
      <c r="A17" s="10">
        <v>116</v>
      </c>
      <c r="B17" s="10" t="s">
        <v>48</v>
      </c>
      <c r="C17" s="10" t="s">
        <v>55</v>
      </c>
      <c r="D17" s="10">
        <v>4000</v>
      </c>
    </row>
    <row r="18" spans="1:4" x14ac:dyDescent="0.3">
      <c r="A18" s="10">
        <v>117</v>
      </c>
      <c r="B18" s="10" t="s">
        <v>49</v>
      </c>
      <c r="C18" s="10" t="s">
        <v>56</v>
      </c>
      <c r="D18" s="10">
        <v>5000</v>
      </c>
    </row>
    <row r="19" spans="1:4" x14ac:dyDescent="0.3">
      <c r="A19" s="10">
        <v>118</v>
      </c>
      <c r="B19" s="10" t="s">
        <v>50</v>
      </c>
      <c r="C19" s="10" t="s">
        <v>57</v>
      </c>
      <c r="D19" s="10">
        <v>6000</v>
      </c>
    </row>
    <row r="20" spans="1:4" x14ac:dyDescent="0.3">
      <c r="A20" s="10">
        <v>119</v>
      </c>
      <c r="B20" s="10" t="s">
        <v>51</v>
      </c>
      <c r="C20" s="10" t="s">
        <v>58</v>
      </c>
      <c r="D20" s="10">
        <v>7000</v>
      </c>
    </row>
    <row r="21" spans="1:4" x14ac:dyDescent="0.3">
      <c r="A21" s="10">
        <v>120</v>
      </c>
      <c r="B21" s="10" t="s">
        <v>52</v>
      </c>
      <c r="C21" s="10" t="s">
        <v>59</v>
      </c>
      <c r="D21" s="10">
        <v>8000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7B3C6-119F-47F8-BC4D-BEBE351A225C}">
  <dimension ref="G1:L21"/>
  <sheetViews>
    <sheetView tabSelected="1" workbookViewId="0">
      <selection activeCell="J23" sqref="J23"/>
    </sheetView>
  </sheetViews>
  <sheetFormatPr defaultRowHeight="14.4" x14ac:dyDescent="0.3"/>
  <cols>
    <col min="12" max="12" width="11.21875" bestFit="1" customWidth="1"/>
  </cols>
  <sheetData>
    <row r="1" spans="7:8" ht="23.4" x14ac:dyDescent="0.45">
      <c r="H1" s="6" t="s">
        <v>23</v>
      </c>
    </row>
    <row r="14" spans="7:8" x14ac:dyDescent="0.3">
      <c r="G14" t="s">
        <v>25</v>
      </c>
    </row>
    <row r="15" spans="7:8" x14ac:dyDescent="0.3">
      <c r="G15" s="8">
        <v>170000</v>
      </c>
    </row>
    <row r="16" spans="7:8" x14ac:dyDescent="0.3">
      <c r="G16" s="8">
        <v>82000</v>
      </c>
    </row>
    <row r="19" spans="9:12" ht="18" x14ac:dyDescent="0.35">
      <c r="I19" s="7" t="s">
        <v>24</v>
      </c>
    </row>
    <row r="21" spans="9:12" ht="23.4" x14ac:dyDescent="0.45">
      <c r="I21">
        <f>SUM(G15:G16)</f>
        <v>252000</v>
      </c>
      <c r="L21" s="9">
        <f>I21</f>
        <v>252000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Sheet1</vt:lpstr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Shobhit Jain</dc:creator>
  <cp:lastModifiedBy>Shobhit Jain</cp:lastModifiedBy>
  <dcterms:created xsi:type="dcterms:W3CDTF">2026-03-26T11:36:39Z</dcterms:created>
  <dcterms:modified xsi:type="dcterms:W3CDTF">2026-10-09T10:20:20Z</dcterms:modified>
</cp:coreProperties>
</file>